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bryan\Downloads\KP\monitoring vibrasi dan temperature pada motor\penting\"/>
    </mc:Choice>
  </mc:AlternateContent>
  <xr:revisionPtr revIDLastSave="0" documentId="13_ncr:1_{6811B39E-10DB-4FEC-AA34-A04ABC478AF1}" xr6:coauthVersionLast="47" xr6:coauthVersionMax="47" xr10:uidLastSave="{00000000-0000-0000-0000-000000000000}"/>
  <bookViews>
    <workbookView xWindow="0" yWindow="220" windowWidth="19200" windowHeight="11780" activeTab="1" xr2:uid="{00000000-000D-0000-FFFF-FFFF00000000}"/>
  </bookViews>
  <sheets>
    <sheet name="Subsistem edge baru" sheetId="4" r:id="rId1"/>
    <sheet name="Subsistem Gateway" sheetId="2" r:id="rId2"/>
    <sheet name="Infrastruktur Ser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4" l="1"/>
  <c r="F18" i="4" s="1"/>
  <c r="F13" i="3"/>
  <c r="F11" i="2"/>
</calcChain>
</file>

<file path=xl/sharedStrings.xml><?xml version="1.0" encoding="utf-8"?>
<sst xmlns="http://schemas.openxmlformats.org/spreadsheetml/2006/main" count="201" uniqueCount="161">
  <si>
    <t>Kategori</t>
  </si>
  <si>
    <t>Nama Komponen</t>
  </si>
  <si>
    <t>Fungsi Utama (Buat Apa?)</t>
  </si>
  <si>
    <t>Tujuan Penggunaan (Supaya Apa?)</t>
  </si>
  <si>
    <t>Qty / Node</t>
  </si>
  <si>
    <t>Estimasi Harga</t>
  </si>
  <si>
    <t>Pusat Komputasi</t>
  </si>
  <si>
    <t>ESP32 Development Board(ESP32-WROOM-32U)</t>
  </si>
  <si>
    <t>Mikrokontroler 32-bit (SRAM 520 KB) dengan modul komunikasi nirkabel terintegrasi.</t>
  </si>
  <si>
    <t>Mengeksekusi komputasi lokal (Edge Computing) seperti algoritma FFT untuk mengolah data mentah di titik mesin agar tidak membebani jaringan nirkabel pabrik.</t>
  </si>
  <si>
    <t>1 Pcs</t>
  </si>
  <si>
    <t>https://shopee.co.id/ESP32-DEVKITC-V4-WROOM-32U-38Pin-CP2102-Board-Only-Board-Kabel-Board-Expansion-Board-Expansion-Kabel-Development-Board-WiFi-Bluetooth-Dual-Core-untuk-IoT-Arduino-i.62956347.21011247676?extraParams=%7B%22display_model_id%22%3A272229375486%2C%22model_selection_logic%22%3A3%7D&amp;is_from_login=true</t>
  </si>
  <si>
    <t>Akses Jaringan</t>
  </si>
  <si>
    <t>Sensor Getaran</t>
  </si>
  <si>
    <t>Modul Accelerometer MEMS 3-Sumbu (STMicroelectronics IIS3DWB) / alternatif pakai ADXL 345 sekitar 200rb)</t>
  </si>
  <si>
    <t>Transduser untuk menangkap percepatan getaran spasial. Wajib menggunakan antarmuka bus SPI.</t>
  </si>
  <si>
    <t>Mendeteksi gejala awal keausan bantalan peluru, kelonggaran mekanis, atau ketidaksejajaran poros. Memastikan kecepatan transfer data tanpa bottleneck.</t>
  </si>
  <si>
    <t>Filter Catu Daya</t>
  </si>
  <si>
    <t>Kapasitor Keramik 0.1 µF (100nF) &amp; Elco 10 µF</t>
  </si>
  <si>
    <t>Komponen penyaring riak (ripple) tegangan listrik berfrekuensi tinggi dengan nilai ESL rendah.</t>
  </si>
  <si>
    <t>Mengamankan jalur listrik (VDD) ke sensor IIS3DWB dari derau digital yang dihasilkan oleh Wi-Fi ESP32, sehingga data hasil ukur FFT tidak cacat.</t>
  </si>
  <si>
    <t>1 Set</t>
  </si>
  <si>
    <t>Sensor Termal</t>
  </si>
  <si>
    <t>Mendeteksi disipasi energi panas tak wajar akibat gesekan berlebih atau overload.</t>
  </si>
  <si>
    <t>Sumber Daya Utama</t>
  </si>
  <si>
    <t>Baterai Primer (Li-SOCl2)(Saft LS14500 )</t>
  </si>
  <si>
    <t>Sel baterai bertegangan nominal 3.6V DC.</t>
  </si>
  <si>
    <t>Memastikan mikrokontroler beroperasi nirkabel penuh melalui mode deep-sleep selama tahunan.</t>
  </si>
  <si>
    <t>1-2 Pcs</t>
  </si>
  <si>
    <t>Penyimpan Muatan</t>
  </si>
  <si>
    <t>Supercapacitor (EDLC) atau Hybrid Layer Capacitor (HLC)</t>
  </si>
  <si>
    <t>Meredam lonjakan arus mendadak (transient peak current) saat ESP32 membangunkan radio pemancar.</t>
  </si>
  <si>
    <t>Landasan Perakitan</t>
  </si>
  <si>
    <t>PCB Fiberglass FR4</t>
  </si>
  <si>
    <t>Papan substrat sirkuit cetak keras.</t>
  </si>
  <si>
    <t>Menjadi landasan penyolderan struktur sirkuit mikrokontroler, ADC, dan pengondisi sinyal menjadi satu unit padu.</t>
  </si>
  <si>
    <t>Pelindung Board</t>
  </si>
  <si>
    <t>Epoxy Potting Compound / Conformal Coating</t>
  </si>
  <si>
    <t>Cairan senyawa polimer resin perekat dan pengeras.</t>
  </si>
  <si>
    <t>Membungkus papan sirkuit untuk menghalangi gas korosif pabrik dan mengamankan solderan dari retak getaran mekanis.</t>
  </si>
  <si>
    <t>Enclosure &amp; Segel</t>
  </si>
  <si>
    <t>Kotak Industri (IP65/IP66/IP67) &amp; Cable Gland</t>
  </si>
  <si>
    <t>Wadah polycarbonate atau die-cast lengkap dengan segel masuk kabel kedap air.</t>
  </si>
  <si>
    <t>Menjamin sirkuit logika terbebas dari penyusupan debu, air cucian bertekanan, dan cipratan benda asing.</t>
  </si>
  <si>
    <t>Mekanikal</t>
  </si>
  <si>
    <t>Baut Ulir M6 &amp; Shock Absorber</t>
  </si>
  <si>
    <t>Pengikat bodi sensor ke beban mesin dan peredam getaran pada sasis.</t>
  </si>
  <si>
    <t>Menghindari patahnya sambungan timah akibat rambatan getaran mesin yang kontinu.</t>
  </si>
  <si>
    <t>Pelindung Radio</t>
  </si>
  <si>
    <t>Copper Tape / Shielding</t>
  </si>
  <si>
    <t>Perisai logam atau jaring konduktif pembungkus modul Wi-Fi.</t>
  </si>
  <si>
    <t>Membelokkan medan radiasi EMI dari Variable Frequency Drive agar tidak mengganggu transmisi data nirkabel.</t>
  </si>
  <si>
    <t>Bahan Sekali Pakai</t>
  </si>
  <si>
    <t>Timah Solder, Flux, &amp; Lem Industrial</t>
  </si>
  <si>
    <t>Bahan penyambung logam dan lem struktural tinggi (seperti LOCTITE).</t>
  </si>
  <si>
    <t>Mengunci komponen di PCB secara presisi dan menempelkan pelat sensor secara permanen di area tanpa baut.</t>
  </si>
  <si>
    <t>Secukupnya</t>
  </si>
  <si>
    <t>alternatif</t>
  </si>
  <si>
    <t>Qty Total</t>
  </si>
  <si>
    <t>Harga</t>
  </si>
  <si>
    <t>Pusat Jaringan</t>
  </si>
  <si>
    <t>Mikrokontroler sebagai gerbang utama (Router MESH).</t>
  </si>
  <si>
    <t>Menerima lompatan paket data mesin dari klien ESP-MESH dan merutekannya menuju server lokal.</t>
  </si>
  <si>
    <t>Antarmuka LAN</t>
  </si>
  <si>
    <t>Modul Ethernet / LAN</t>
  </si>
  <si>
    <t>Modul fisik (seperti W5500/ENC28J60) dengan soket RJ45.</t>
  </si>
  <si>
    <t>Menyediakan alternatif koneksi intranet yang kebal interferensi dibandingkan Wi-Fi sebagai tulang punggung (backbone) telemetri.</t>
  </si>
  <si>
    <t>Catu Daya Utama</t>
  </si>
  <si>
    <t>Adaptor AC/DC DIN-Rail 5V 15W</t>
  </si>
  <si>
    <t>Penurun tegangan listrik switching tingkat industri.</t>
  </si>
  <si>
    <t>Menyuplai arus DC non-stop dengan kompensasi jatuh tegangan (headroom daya minimal 40%) agar beban telemetri terlayani penuh.</t>
  </si>
  <si>
    <t>Regulator Internal</t>
  </si>
  <si>
    <t>LDO Regulator AMS1117-3.3</t>
  </si>
  <si>
    <t>Sirkuit bawaan board untuk menurunkan 5V menjadi 3.3V DC.</t>
  </si>
  <si>
    <t>Mencegah brownout reset saat lonjakan transmisi Wi-Fi ESP32.</t>
  </si>
  <si>
    <t>Terintegrasi</t>
  </si>
  <si>
    <t>-</t>
  </si>
  <si>
    <t>Kabel Daya AC</t>
  </si>
  <si>
    <t>Kabel NYYHY/NYAF 3x1.5 mm²</t>
  </si>
  <si>
    <t>Kabel tembaga serabut dengan selubung PVC tahan rambat api.</t>
  </si>
  <si>
    <t>Ditarik sejauh beberapa meter dari titik MCC menuju Gateway dengan jaminan integritas kekuatan tarik mekanis.</t>
  </si>
  <si>
    <t>Sesuai Jarak</t>
  </si>
  <si>
    <t>Proteksi Arus</t>
  </si>
  <si>
    <t>Miniature Circuit Breaker (MCB) 1F 2A</t>
  </si>
  <si>
    <t>Pemutus sirkuit kurva C pada jalur persimpangan arus 220V AC.</t>
  </si>
  <si>
    <t>Memutuskan tegangan jika terjadi insiden hubung singkat (short circuit) mendadak di dalam internal panel Gateway.</t>
  </si>
  <si>
    <t>Enclosure Panel</t>
  </si>
  <si>
    <t>Kotak Panel Industri (IP65/IP67)</t>
  </si>
  <si>
    <t>Lemari boks kecil untuk merumahkan komponen Gateway dan PSU.</t>
  </si>
  <si>
    <t>Melindungi perangkat inti dari uap, debu, dan korosi.</t>
  </si>
  <si>
    <t>Terminasi Daya</t>
  </si>
  <si>
    <t>Terminal Blok &amp; Ferrule (Skun Pin)</t>
  </si>
  <si>
    <t>Komponen blok jepit tipe Push-in dan selongsong ujung kabel.</t>
  </si>
  <si>
    <t>Menjepit ujung kawat serabut listrik secara hidrolik tanpa memotong kawat halus sehingga mencegah resistansi bunga api.</t>
  </si>
  <si>
    <t>Segel Keamanan</t>
  </si>
  <si>
    <t>Gasket (PU/Silikon) &amp; Blind Plug</t>
  </si>
  <si>
    <t>Pelapis pinggiran pintu panel dan penutup celah lubang tak terpakai.</t>
  </si>
  <si>
    <t>Mempertahankan perlindungan kedap IP65-IP67 walau terdapat jalur masuk kabel berlebih pada bodi panel.</t>
  </si>
  <si>
    <t>Qty / Instalasi</t>
  </si>
  <si>
    <t>Komputasi Pusat</t>
  </si>
  <si>
    <t>Mini PC (Raspberry Pi/Intel NUC)</t>
  </si>
  <si>
    <t>Server berdaya rendah untuk isolasi basis data.</t>
  </si>
  <si>
    <t>Menjalankan sistem perangkat lunak mandiri agar metrik mesin tidak bercampur langsung dengan jaringan utama pabrik demi keamanan siber.</t>
  </si>
  <si>
    <t>1 Unit</t>
  </si>
  <si>
    <t>Suplai Mini PC</t>
  </si>
  <si>
    <t>Adaptor Daya Bawaan 5V DC 3A</t>
  </si>
  <si>
    <t>Charger atau penurun tegangan bawaan pabrik dengan soket USB-C.</t>
  </si>
  <si>
    <t>Menghidupkan Mini PC dengan arus yang sesuai spesifikasi motherboard server.</t>
  </si>
  <si>
    <t>Wireless Router / Access Point Lokal</t>
  </si>
  <si>
    <t>Pemancar sinyal intranet nirkabel (2.4/5 GHz).</t>
  </si>
  <si>
    <t>Memberikan akses visualisasi metrik mesin via smartphone atau tablet kepada teknisi tanpa harus meminta izin IT korporat.</t>
  </si>
  <si>
    <t>Suplai Router</t>
  </si>
  <si>
    <t>Adaptor Daya Bawaan 12V DC 1A</t>
  </si>
  <si>
    <t>Catu daya AC-DC khusus perangkat router.</t>
  </si>
  <si>
    <t>Mengalirkan beban daya stabil khusus untuk operasional pemancar AP.</t>
  </si>
  <si>
    <t>Titik Arus Panel</t>
  </si>
  <si>
    <t>Stopkontak DIN-Rail 220V AC</t>
  </si>
  <si>
    <t>Soket catu daya jala-jala fisik yang dipasang di dalam panel.</t>
  </si>
  <si>
    <t>Memberikan lubang colokan (plug) yang tertata rapi untuk adaptor Mini PC dan Router tanpa harus merangkai sirkuit penurun tambahan.</t>
  </si>
  <si>
    <t>Jalur Tulang Punggung</t>
  </si>
  <si>
    <t>Kabel LAN UTP/STP Cat6 &amp; RJ45</t>
  </si>
  <si>
    <t>Media penghantar internet tingkat fasilitas.</t>
  </si>
  <si>
    <t>Menyambungkan aliran data berat secara fisik dari subsistem Gateway menuju server pangkalan data di dalam panel yang sama/terpisah.</t>
  </si>
  <si>
    <t>Proteksi Jalur LAN</t>
  </si>
  <si>
    <t>Pipa Conduit PVC High-Impact</t>
  </si>
  <si>
    <t>Selongsong pelindung fisis untuk jalur telemetri kabel.</t>
  </si>
  <si>
    <t>Melindungi bentangan kabel LAN dari himpitan alat mekanis atau gigitan hama saat melintasi rute perpipaan pabrik.</t>
  </si>
  <si>
    <t>Sesuai Tarikan</t>
  </si>
  <si>
    <t>Infrastruktur Pesan</t>
  </si>
  <si>
    <t>MQTT Broker (Eclipse Mosquitto)</t>
  </si>
  <si>
    <t>Perangkat lunak dengan arsitektur publish-subscribe.</t>
  </si>
  <si>
    <t>Menjembatani komunikasi M2M secara ringan, meminimalisasi pemborosan beban memori akibat antrean data pada node.</t>
  </si>
  <si>
    <t>1 Lisensi</t>
  </si>
  <si>
    <t>Pangkalan Data</t>
  </si>
  <si>
    <t>InfluxDB (Time-Series)</t>
  </si>
  <si>
    <t>Perangkat lunak perekam rekam jejak berdasarkan timestamp waktu.</t>
  </si>
  <si>
    <t>Mengakumulasi nilai tren historis sensor untuk mendukung analisis RUL (Remaining Useful Life) di masa depan.</t>
  </si>
  <si>
    <t>Visualisasi Operator</t>
  </si>
  <si>
    <t>Grafana Dashboard</t>
  </si>
  <si>
    <t>Antarmuka pengguna grafis untuk menampilkan fluktuasi grafik.</t>
  </si>
  <si>
    <t>Memicu peringatan real-time kepada engineer jika batas toleransi arus atau getaran mesin terlewati.</t>
  </si>
  <si>
    <t>Komputasi Simulasi</t>
  </si>
  <si>
    <t>MATLAB &amp; Simulink</t>
  </si>
  <si>
    <t>Platform visualisasi numerik kelistrikan teknik.</t>
  </si>
  <si>
    <t>Memvalidasi sintaksis grafik, yang harus diurutkan secara presisi (fungsi sgrid dan axis) demi menghindari resert skala pembesaran (zoom) grafik pemodelan data sensor.</t>
  </si>
  <si>
    <t>https://www.alibaba.com/product-detail/New-STEVAL-MKI208V1K-IIS3-EXP-BRD_1601862381394.html?spm=a2700.prosearch.normal_offer.d_title.4d4c67afIbCLgo&amp;priceId=7cde1700cb7d4dd88dedd78d3baacf67</t>
  </si>
  <si>
    <t xml:space="preserve">https://www.st.com/en/evaluation-tools/steval-mki208v1k.html#sample-buy *opsi: untuk ketahan suhu </t>
  </si>
  <si>
    <t>Sensor Inframerah MLX90614ESF-BCC</t>
  </si>
  <si>
    <t>Alat untuk memantau suhu badan motor menggunakan inframerah.</t>
  </si>
  <si>
    <t>Komponen penyimpan arus listrik berkapasitas 1F</t>
  </si>
  <si>
    <t>https://shopee.co.id/GY906-GY-906-BCC-Infrared-Temperature-Sensor-MLX90614-MLX90614ESF-BCC-i.906610.24785287063?xptdk=6fd66464-8f73-41d3-b058-b1eebf590901</t>
  </si>
  <si>
    <t>Manajemen Daya</t>
  </si>
  <si>
    <t>IC LDO UMW HT7833-A (Package SOT-89, Output 3.3V, 450mA, Iq 2µA)</t>
  </si>
  <si>
    <t>Melakukan Step down dari baterai menjadi 3.3 V</t>
  </si>
  <si>
    <t>Memastikan mikrokontroler menerima input 3.3 V sehingga dapat beroperasi dengan baik.</t>
  </si>
  <si>
    <t>https://shopee.co.id/HT7833-A-450mA-Fixed-3.3V-Linear-Voltage-Regulator-7833-A-HT7833-SOT-89-UMW-i.9011098.51656283259?extraParams=%7B%22display_model_id%22%3A355568786889%2C%22model_selection_logic%22%3A3%7D</t>
  </si>
  <si>
    <t>Kapasitor Filter Utama</t>
  </si>
  <si>
    <r>
      <t xml:space="preserve">Tambahkan 2 buah Kapasitor Keramik (MLCC) SMD ukuran 10 µF (Satu ditempatkan di jalur </t>
    </r>
    <r>
      <rPr>
        <i/>
        <sz val="11"/>
        <color theme="1"/>
        <rFont val="Calibri"/>
        <family val="2"/>
        <scheme val="minor"/>
      </rPr>
      <t>Input</t>
    </r>
    <r>
      <rPr>
        <sz val="11"/>
        <color theme="1"/>
        <rFont val="Calibri"/>
        <family val="2"/>
        <scheme val="minor"/>
      </rPr>
      <t xml:space="preserve"> VIN LDO, satu di jalur </t>
    </r>
    <r>
      <rPr>
        <i/>
        <sz val="11"/>
        <color theme="1"/>
        <rFont val="Calibri"/>
        <family val="2"/>
        <scheme val="minor"/>
      </rPr>
      <t>Output</t>
    </r>
    <r>
      <rPr>
        <sz val="11"/>
        <color theme="1"/>
        <rFont val="Calibri"/>
        <family val="2"/>
        <scheme val="minor"/>
      </rPr>
      <t xml:space="preserve"> 3.3V LDO).</t>
    </r>
  </si>
  <si>
    <t>Untuk memfilter noise yang ada</t>
  </si>
  <si>
    <t>Dengan hilangnya noise maka LDO tidak akan mengalami osilasi dan dapat bekerja dengan baik</t>
  </si>
  <si>
    <t>ESP32 Development Board(ESP32-WROOM-32D)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</si>
</sst>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[$Rp-421]* #,##0.00_-;\-[$Rp-421]* #,##0.00_-;_-[$Rp-421]* &quot;-&quot;??_-;_-@_-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charset val="134"/>
    </font>
    <font>
      <u/>
      <sz val="11"/>
      <color rgb="FF0000FF"/>
      <name val="Calibri"/>
      <scheme val="minor"/>
    </font>
    <font>
      <sz val="11"/>
      <color theme="1"/>
      <name val="Calibri"/>
      <charset val="134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0" fontId="4" fillId="0" borderId="0" xfId="2" applyAlignment="1"/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0" fillId="0" borderId="1" xfId="1" applyNumberFormat="1" applyFont="1" applyFill="1" applyBorder="1" applyAlignment="1">
      <alignment horizontal="center" vertical="center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hopee.co.id/ESP32-DEVKITC-V4-WROOM-32U-38Pin-CP2102-Board-Only-Board-Kabel-Board-Expansion-Board-Expansion-Kabel-Development-Board-WiFi-Bluetooth-Dual-Core-untuk-IoT-Arduino-i.62956347.21011247676?extraParams=%7B%22display_model_id%22%3A272229375486%2C%22model_selection_logic%22%3A3%7D&amp;is_from_login=true" TargetMode="External"/><Relationship Id="rId2" Type="http://schemas.openxmlformats.org/officeDocument/2006/relationships/hyperlink" Target="https://shopee.co.id/GY906-GY-906-BCC-Infrared-Temperature-Sensor-MLX90614-MLX90614ESF-BCC-i.906610.24785287063?xptdk=6fd66464-8f73-41d3-b058-b1eebf590901" TargetMode="External"/><Relationship Id="rId1" Type="http://schemas.openxmlformats.org/officeDocument/2006/relationships/hyperlink" Target="https://www.st.com/en/evaluation-tools/steval-mki208v1k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521B0-2CA4-4230-AA1B-FC7BA3C30B55}">
  <dimension ref="A1:O18"/>
  <sheetViews>
    <sheetView topLeftCell="A4" zoomScale="63" workbookViewId="0">
      <selection activeCell="A3" sqref="A3"/>
    </sheetView>
  </sheetViews>
  <sheetFormatPr defaultColWidth="9" defaultRowHeight="14.5"/>
  <cols>
    <col min="1" max="1" width="20" customWidth="1"/>
    <col min="2" max="2" width="35" customWidth="1"/>
    <col min="3" max="3" width="45" customWidth="1"/>
    <col min="4" max="4" width="50" customWidth="1"/>
    <col min="5" max="6" width="15" customWidth="1"/>
  </cols>
  <sheetData>
    <row r="1" spans="1: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" t="s">
        <v>5</v>
      </c>
    </row>
    <row r="2" spans="1:15" ht="43.5">
      <c r="A2" s="8" t="s">
        <v>6</v>
      </c>
      <c r="B2" s="8" t="s">
        <v>160</v>
      </c>
      <c r="C2" s="8" t="s">
        <v>8</v>
      </c>
      <c r="D2" s="8" t="s">
        <v>9</v>
      </c>
      <c r="E2" s="8" t="s">
        <v>10</v>
      </c>
      <c r="F2" s="9">
        <v>120000</v>
      </c>
      <c r="G2" s="6" t="s">
        <v>11</v>
      </c>
    </row>
    <row r="3" spans="1:15" ht="43.5">
      <c r="A3" s="8" t="s">
        <v>13</v>
      </c>
      <c r="B3" s="8" t="s">
        <v>14</v>
      </c>
      <c r="C3" s="8" t="s">
        <v>15</v>
      </c>
      <c r="D3" s="8" t="s">
        <v>16</v>
      </c>
      <c r="E3" s="8" t="s">
        <v>10</v>
      </c>
      <c r="F3" s="9">
        <v>700000</v>
      </c>
      <c r="G3" s="6" t="s">
        <v>146</v>
      </c>
      <c r="O3" t="s">
        <v>145</v>
      </c>
    </row>
    <row r="4" spans="1:15" ht="42" customHeight="1">
      <c r="A4" s="8" t="s">
        <v>17</v>
      </c>
      <c r="B4" s="8" t="s">
        <v>18</v>
      </c>
      <c r="C4" s="8" t="s">
        <v>19</v>
      </c>
      <c r="D4" s="8" t="s">
        <v>20</v>
      </c>
      <c r="E4" s="8" t="s">
        <v>21</v>
      </c>
      <c r="F4" s="9">
        <v>12000</v>
      </c>
    </row>
    <row r="5" spans="1:15" ht="29">
      <c r="A5" s="8" t="s">
        <v>22</v>
      </c>
      <c r="B5" s="8" t="s">
        <v>147</v>
      </c>
      <c r="C5" s="8" t="s">
        <v>148</v>
      </c>
      <c r="D5" s="8" t="s">
        <v>23</v>
      </c>
      <c r="E5" s="8" t="s">
        <v>10</v>
      </c>
      <c r="F5" s="9">
        <v>200000</v>
      </c>
      <c r="G5" s="6" t="s">
        <v>150</v>
      </c>
    </row>
    <row r="6" spans="1:15" ht="29">
      <c r="A6" s="8" t="s">
        <v>24</v>
      </c>
      <c r="B6" s="8" t="s">
        <v>25</v>
      </c>
      <c r="C6" s="8" t="s">
        <v>26</v>
      </c>
      <c r="D6" s="8" t="s">
        <v>27</v>
      </c>
      <c r="E6" s="8" t="s">
        <v>28</v>
      </c>
      <c r="F6" s="9">
        <v>50000</v>
      </c>
    </row>
    <row r="7" spans="1:15" ht="29">
      <c r="A7" s="8" t="s">
        <v>29</v>
      </c>
      <c r="B7" s="8" t="s">
        <v>30</v>
      </c>
      <c r="C7" s="8" t="s">
        <v>149</v>
      </c>
      <c r="D7" s="8" t="s">
        <v>31</v>
      </c>
      <c r="E7" s="8" t="s">
        <v>10</v>
      </c>
      <c r="F7" s="9">
        <v>30000</v>
      </c>
    </row>
    <row r="8" spans="1:15" ht="29">
      <c r="A8" s="8" t="s">
        <v>151</v>
      </c>
      <c r="B8" s="10" t="s">
        <v>152</v>
      </c>
      <c r="C8" s="10" t="s">
        <v>153</v>
      </c>
      <c r="D8" s="10" t="s">
        <v>154</v>
      </c>
      <c r="E8" s="10" t="s">
        <v>10</v>
      </c>
      <c r="F8" s="9">
        <v>5000</v>
      </c>
      <c r="G8" t="s">
        <v>155</v>
      </c>
    </row>
    <row r="9" spans="1:15" ht="58">
      <c r="A9" s="10" t="s">
        <v>156</v>
      </c>
      <c r="B9" s="10" t="s">
        <v>157</v>
      </c>
      <c r="C9" s="10" t="s">
        <v>158</v>
      </c>
      <c r="D9" s="10" t="s">
        <v>159</v>
      </c>
      <c r="E9" s="10" t="s">
        <v>21</v>
      </c>
      <c r="F9" s="11">
        <v>30000</v>
      </c>
    </row>
    <row r="10" spans="1:15" ht="43.5">
      <c r="A10" s="8" t="s">
        <v>32</v>
      </c>
      <c r="B10" s="8" t="s">
        <v>33</v>
      </c>
      <c r="C10" s="8" t="s">
        <v>34</v>
      </c>
      <c r="D10" s="8" t="s">
        <v>35</v>
      </c>
      <c r="E10" s="8" t="s">
        <v>10</v>
      </c>
      <c r="F10" s="9">
        <v>25000</v>
      </c>
    </row>
    <row r="11" spans="1:15" ht="43.5">
      <c r="A11" s="8" t="s">
        <v>36</v>
      </c>
      <c r="B11" s="8" t="s">
        <v>37</v>
      </c>
      <c r="C11" s="8" t="s">
        <v>38</v>
      </c>
      <c r="D11" s="8" t="s">
        <v>39</v>
      </c>
      <c r="E11" s="8" t="s">
        <v>21</v>
      </c>
      <c r="F11" s="9">
        <v>70000</v>
      </c>
    </row>
    <row r="12" spans="1:15" ht="29">
      <c r="A12" s="8" t="s">
        <v>40</v>
      </c>
      <c r="B12" s="8" t="s">
        <v>41</v>
      </c>
      <c r="C12" s="8" t="s">
        <v>42</v>
      </c>
      <c r="D12" s="8" t="s">
        <v>43</v>
      </c>
      <c r="E12" s="8" t="s">
        <v>21</v>
      </c>
      <c r="F12" s="9">
        <v>200000</v>
      </c>
    </row>
    <row r="13" spans="1:15" ht="29">
      <c r="A13" s="8" t="s">
        <v>44</v>
      </c>
      <c r="B13" s="8" t="s">
        <v>45</v>
      </c>
      <c r="C13" s="8" t="s">
        <v>46</v>
      </c>
      <c r="D13" s="8" t="s">
        <v>47</v>
      </c>
      <c r="E13" s="8" t="s">
        <v>21</v>
      </c>
      <c r="F13" s="9">
        <v>30000</v>
      </c>
    </row>
    <row r="14" spans="1:15" ht="29">
      <c r="A14" s="8" t="s">
        <v>48</v>
      </c>
      <c r="B14" s="8" t="s">
        <v>49</v>
      </c>
      <c r="C14" s="8" t="s">
        <v>50</v>
      </c>
      <c r="D14" s="8" t="s">
        <v>51</v>
      </c>
      <c r="E14" s="8" t="s">
        <v>10</v>
      </c>
      <c r="F14" s="9">
        <v>20000</v>
      </c>
    </row>
    <row r="15" spans="1:15" ht="43.5">
      <c r="A15" s="8" t="s">
        <v>52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50000</v>
      </c>
    </row>
    <row r="17" spans="5:6">
      <c r="F17" s="4">
        <f>SUM(F2:F15)</f>
        <v>1542000</v>
      </c>
    </row>
    <row r="18" spans="5:6">
      <c r="E18" s="7" t="s">
        <v>57</v>
      </c>
      <c r="F18" s="4">
        <f>F17-350000</f>
        <v>1192000</v>
      </c>
    </row>
  </sheetData>
  <hyperlinks>
    <hyperlink ref="G3" r:id="rId1" location="sample-buy *opsi: untuk ketahan suhu " xr:uid="{DB5D6DA8-A780-4905-A242-7829153D74E4}"/>
    <hyperlink ref="G5" r:id="rId2" xr:uid="{B5CBE7C4-1E72-4E51-9DF8-CDD7833AC0A9}"/>
    <hyperlink ref="G2" r:id="rId3" display="https://shopee.co.id/ESP32-DEVKITC-V4-WROOM-32U-38Pin-CP2102-Board-Only-Board-Kabel-Board-Expansion-Board-Expansion-Kabel-Development-Board-WiFi-Bluetooth-Dual-Core-untuk-IoT-Arduino-i.62956347.21011247676?extraParams=%7B%22display_model_id%22%3A272229375486%2C%22model_selection_logic%22%3A3%7D&amp;is_from_login=true" xr:uid="{F25EDDF3-4ED9-4F7E-B703-4D311FC56BD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tabSelected="1" zoomScale="83" zoomScaleNormal="83" workbookViewId="0">
      <selection activeCell="A3" sqref="A3"/>
    </sheetView>
  </sheetViews>
  <sheetFormatPr defaultColWidth="9" defaultRowHeight="14.5"/>
  <cols>
    <col min="1" max="1" width="20" customWidth="1"/>
    <col min="2" max="2" width="35" customWidth="1"/>
    <col min="3" max="3" width="45" customWidth="1"/>
    <col min="4" max="4" width="50" customWidth="1"/>
    <col min="5" max="6" width="1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58</v>
      </c>
      <c r="F1" s="1" t="s">
        <v>59</v>
      </c>
    </row>
    <row r="2" spans="1:7" ht="29">
      <c r="A2" s="2" t="s">
        <v>60</v>
      </c>
      <c r="B2" s="2" t="s">
        <v>7</v>
      </c>
      <c r="C2" s="2" t="s">
        <v>61</v>
      </c>
      <c r="D2" s="2" t="s">
        <v>62</v>
      </c>
      <c r="E2" s="2" t="s">
        <v>10</v>
      </c>
      <c r="F2" s="3">
        <v>120000</v>
      </c>
      <c r="G2" t="s">
        <v>11</v>
      </c>
    </row>
    <row r="3" spans="1:7" ht="43.5">
      <c r="A3" s="2" t="s">
        <v>63</v>
      </c>
      <c r="B3" s="2" t="s">
        <v>64</v>
      </c>
      <c r="C3" s="2" t="s">
        <v>65</v>
      </c>
      <c r="D3" s="2" t="s">
        <v>66</v>
      </c>
      <c r="E3" s="2" t="s">
        <v>10</v>
      </c>
      <c r="F3" s="3">
        <v>70000</v>
      </c>
    </row>
    <row r="4" spans="1:7" ht="43.5">
      <c r="A4" s="2" t="s">
        <v>67</v>
      </c>
      <c r="B4" s="2" t="s">
        <v>68</v>
      </c>
      <c r="C4" s="2" t="s">
        <v>69</v>
      </c>
      <c r="D4" s="2" t="s">
        <v>70</v>
      </c>
      <c r="E4" s="2" t="s">
        <v>10</v>
      </c>
      <c r="F4" s="3">
        <v>250000</v>
      </c>
    </row>
    <row r="5" spans="1:7" ht="29">
      <c r="A5" s="2" t="s">
        <v>71</v>
      </c>
      <c r="B5" s="2" t="s">
        <v>72</v>
      </c>
      <c r="C5" s="2" t="s">
        <v>73</v>
      </c>
      <c r="D5" s="2" t="s">
        <v>74</v>
      </c>
      <c r="E5" s="2" t="s">
        <v>75</v>
      </c>
      <c r="F5" s="3" t="s">
        <v>76</v>
      </c>
    </row>
    <row r="6" spans="1:7" ht="43.5">
      <c r="A6" s="2" t="s">
        <v>77</v>
      </c>
      <c r="B6" s="2" t="s">
        <v>78</v>
      </c>
      <c r="C6" s="2" t="s">
        <v>79</v>
      </c>
      <c r="D6" s="2" t="s">
        <v>80</v>
      </c>
      <c r="E6" s="2" t="s">
        <v>81</v>
      </c>
      <c r="F6" s="3">
        <v>50000</v>
      </c>
    </row>
    <row r="7" spans="1:7" ht="29">
      <c r="A7" s="2" t="s">
        <v>82</v>
      </c>
      <c r="B7" s="2" t="s">
        <v>83</v>
      </c>
      <c r="C7" s="2" t="s">
        <v>84</v>
      </c>
      <c r="D7" s="2" t="s">
        <v>85</v>
      </c>
      <c r="E7" s="2" t="s">
        <v>10</v>
      </c>
      <c r="F7" s="3">
        <v>50000</v>
      </c>
    </row>
    <row r="8" spans="1:7" ht="29">
      <c r="A8" s="2" t="s">
        <v>86</v>
      </c>
      <c r="B8" s="2" t="s">
        <v>87</v>
      </c>
      <c r="C8" s="2" t="s">
        <v>88</v>
      </c>
      <c r="D8" s="2" t="s">
        <v>89</v>
      </c>
      <c r="E8" s="2" t="s">
        <v>10</v>
      </c>
      <c r="F8" s="3">
        <v>250000</v>
      </c>
    </row>
    <row r="9" spans="1:7" ht="43.5">
      <c r="A9" s="2" t="s">
        <v>90</v>
      </c>
      <c r="B9" s="2" t="s">
        <v>91</v>
      </c>
      <c r="C9" s="2" t="s">
        <v>92</v>
      </c>
      <c r="D9" s="2" t="s">
        <v>93</v>
      </c>
      <c r="E9" s="2" t="s">
        <v>56</v>
      </c>
      <c r="F9" s="3">
        <v>30000</v>
      </c>
    </row>
    <row r="10" spans="1:7" ht="29">
      <c r="A10" s="2" t="s">
        <v>94</v>
      </c>
      <c r="B10" s="2" t="s">
        <v>95</v>
      </c>
      <c r="C10" s="2" t="s">
        <v>96</v>
      </c>
      <c r="D10" s="2" t="s">
        <v>97</v>
      </c>
      <c r="E10" s="2" t="s">
        <v>21</v>
      </c>
      <c r="F10" s="3">
        <v>20000</v>
      </c>
    </row>
    <row r="11" spans="1:7">
      <c r="F11" s="4">
        <f>SUM(F2:F10)</f>
        <v>840000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zoomScale="62" zoomScaleNormal="62" workbookViewId="0">
      <selection activeCell="H4" sqref="H4"/>
    </sheetView>
  </sheetViews>
  <sheetFormatPr defaultColWidth="9" defaultRowHeight="14.5"/>
  <cols>
    <col min="1" max="1" width="20" customWidth="1"/>
    <col min="2" max="2" width="35" customWidth="1"/>
    <col min="3" max="3" width="45" customWidth="1"/>
    <col min="4" max="4" width="50" customWidth="1"/>
    <col min="5" max="5" width="15" customWidth="1"/>
    <col min="6" max="6" width="15.45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98</v>
      </c>
      <c r="F1" s="1" t="s">
        <v>59</v>
      </c>
    </row>
    <row r="2" spans="1:6" ht="43.5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3">
        <v>1500000</v>
      </c>
    </row>
    <row r="3" spans="1:6" ht="29">
      <c r="A3" s="2" t="s">
        <v>104</v>
      </c>
      <c r="B3" s="2" t="s">
        <v>105</v>
      </c>
      <c r="C3" s="2" t="s">
        <v>106</v>
      </c>
      <c r="D3" s="2" t="s">
        <v>107</v>
      </c>
      <c r="E3" s="2" t="s">
        <v>10</v>
      </c>
      <c r="F3" s="3">
        <v>50000</v>
      </c>
    </row>
    <row r="4" spans="1:6" ht="43.5">
      <c r="A4" s="2" t="s">
        <v>12</v>
      </c>
      <c r="B4" s="2" t="s">
        <v>108</v>
      </c>
      <c r="C4" s="2" t="s">
        <v>109</v>
      </c>
      <c r="D4" s="2" t="s">
        <v>110</v>
      </c>
      <c r="E4" s="2" t="s">
        <v>103</v>
      </c>
      <c r="F4" s="3">
        <v>200000</v>
      </c>
    </row>
    <row r="5" spans="1:6" ht="29">
      <c r="A5" s="2" t="s">
        <v>111</v>
      </c>
      <c r="B5" s="2" t="s">
        <v>112</v>
      </c>
      <c r="C5" s="2" t="s">
        <v>113</v>
      </c>
      <c r="D5" s="2" t="s">
        <v>114</v>
      </c>
      <c r="E5" s="2" t="s">
        <v>10</v>
      </c>
      <c r="F5" s="3" t="s">
        <v>76</v>
      </c>
    </row>
    <row r="6" spans="1:6" ht="43.5">
      <c r="A6" s="2" t="s">
        <v>115</v>
      </c>
      <c r="B6" s="2" t="s">
        <v>116</v>
      </c>
      <c r="C6" s="2" t="s">
        <v>117</v>
      </c>
      <c r="D6" s="2" t="s">
        <v>118</v>
      </c>
      <c r="E6" s="2" t="s">
        <v>28</v>
      </c>
      <c r="F6" s="3">
        <v>30000</v>
      </c>
    </row>
    <row r="7" spans="1:6" ht="43.5">
      <c r="A7" s="2" t="s">
        <v>119</v>
      </c>
      <c r="B7" s="2" t="s">
        <v>120</v>
      </c>
      <c r="C7" s="2" t="s">
        <v>121</v>
      </c>
      <c r="D7" s="2" t="s">
        <v>122</v>
      </c>
      <c r="E7" s="2" t="s">
        <v>81</v>
      </c>
      <c r="F7" s="3">
        <v>30000</v>
      </c>
    </row>
    <row r="8" spans="1:6" ht="43.5">
      <c r="A8" s="2" t="s">
        <v>123</v>
      </c>
      <c r="B8" s="2" t="s">
        <v>124</v>
      </c>
      <c r="C8" s="2" t="s">
        <v>125</v>
      </c>
      <c r="D8" s="2" t="s">
        <v>126</v>
      </c>
      <c r="E8" s="2" t="s">
        <v>127</v>
      </c>
      <c r="F8" s="3">
        <v>50000</v>
      </c>
    </row>
    <row r="9" spans="1:6" ht="43.5">
      <c r="A9" s="2" t="s">
        <v>128</v>
      </c>
      <c r="B9" s="2" t="s">
        <v>129</v>
      </c>
      <c r="C9" s="2" t="s">
        <v>130</v>
      </c>
      <c r="D9" s="2" t="s">
        <v>131</v>
      </c>
      <c r="E9" s="2" t="s">
        <v>132</v>
      </c>
      <c r="F9" s="3" t="s">
        <v>76</v>
      </c>
    </row>
    <row r="10" spans="1:6" ht="43.5">
      <c r="A10" s="2" t="s">
        <v>133</v>
      </c>
      <c r="B10" s="2" t="s">
        <v>134</v>
      </c>
      <c r="C10" s="2" t="s">
        <v>135</v>
      </c>
      <c r="D10" s="2" t="s">
        <v>136</v>
      </c>
      <c r="E10" s="2" t="s">
        <v>132</v>
      </c>
      <c r="F10" s="3" t="s">
        <v>76</v>
      </c>
    </row>
    <row r="11" spans="1:6" ht="29">
      <c r="A11" s="2" t="s">
        <v>137</v>
      </c>
      <c r="B11" s="2" t="s">
        <v>138</v>
      </c>
      <c r="C11" s="2" t="s">
        <v>139</v>
      </c>
      <c r="D11" s="2" t="s">
        <v>140</v>
      </c>
      <c r="E11" s="2" t="s">
        <v>132</v>
      </c>
      <c r="F11" s="3" t="s">
        <v>76</v>
      </c>
    </row>
    <row r="12" spans="1:6" ht="43.5">
      <c r="A12" s="2" t="s">
        <v>141</v>
      </c>
      <c r="B12" s="2" t="s">
        <v>142</v>
      </c>
      <c r="C12" s="2" t="s">
        <v>143</v>
      </c>
      <c r="D12" s="2" t="s">
        <v>144</v>
      </c>
      <c r="E12" s="2" t="s">
        <v>132</v>
      </c>
      <c r="F12" s="3" t="s">
        <v>76</v>
      </c>
    </row>
    <row r="13" spans="1:6">
      <c r="F13" s="4">
        <f>SUM(F2:F12)</f>
        <v>1860000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Subsistem edge baru</vt:lpstr>
      <vt:lpstr>Subsistem Gateway</vt:lpstr>
      <vt:lpstr>Infrastruktur Server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Bryan R Ryanto Purba</cp:lastModifiedBy>
  <dcterms:created xsi:type="dcterms:W3CDTF">2026-07-14T07:53:00Z</dcterms:created>
  <dcterms:modified xsi:type="dcterms:W3CDTF">2026-08-03T02:11:45Z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2026-07-14T09:55:20Z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364de511-1c2d-4739-8a9e-015ccf135451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  <property fmtid="{D5CDD505-2E9C-101B-9397-08002B2CF9AE}" pid="10" name="ICV">
    <vt:lpwstr>3F19C31990384D30858671415D7C82E7_12</vt:lpwstr>
  </property>
  <property fmtid="{D5CDD505-2E9C-101B-9397-08002B2CF9AE}" pid="11" name="KSOProductBuildVer">
    <vt:lpwstr>1057-12.1.0.26880</vt:lpwstr>
  </property>
  <property fmtid="{D5CDD505-2E9C-101B-9397-08002B2CF9AE}" pid="12" name="CalculationRule">
    <vt:i4>0</vt:i4>
  </property>
</Properties>
</file>